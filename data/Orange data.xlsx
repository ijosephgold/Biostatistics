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ura\Desktop\Teaching folders\Spring 2026\Biol 330\"/>
    </mc:Choice>
  </mc:AlternateContent>
  <xr:revisionPtr revIDLastSave="0" documentId="13_ncr:1_{0A3EDA7B-B666-452E-B710-4CAEA4DDD0E3}" xr6:coauthVersionLast="47" xr6:coauthVersionMax="47" xr10:uidLastSave="{00000000-0000-0000-0000-000000000000}"/>
  <bookViews>
    <workbookView xWindow="-110" yWindow="-110" windowWidth="19420" windowHeight="10420" xr2:uid="{F36F0297-3A7D-43C4-9C63-DC61A4CF8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" l="1"/>
  <c r="B13" i="1"/>
  <c r="C3" i="1"/>
  <c r="C4" i="1"/>
  <c r="C5" i="1"/>
  <c r="C6" i="1"/>
  <c r="C7" i="1"/>
  <c r="C8" i="1"/>
  <c r="C9" i="1"/>
  <c r="C10" i="1"/>
  <c r="C11" i="1"/>
  <c r="C2" i="1"/>
  <c r="C13" i="1" l="1"/>
  <c r="D2" i="1" l="1"/>
  <c r="E2" i="1" s="1"/>
  <c r="C15" i="1"/>
  <c r="D3" i="1" l="1"/>
  <c r="E3" i="1" s="1"/>
  <c r="D4" i="1"/>
  <c r="E4" i="1" s="1"/>
  <c r="D5" i="1" l="1"/>
  <c r="E5" i="1" s="1"/>
  <c r="D6" i="1"/>
  <c r="E6" i="1" s="1"/>
  <c r="D7" i="1" l="1"/>
  <c r="E7" i="1" s="1"/>
  <c r="D8" i="1" l="1"/>
  <c r="E8" i="1" s="1"/>
  <c r="D9" i="1" l="1"/>
  <c r="E9" i="1" s="1"/>
  <c r="D10" i="1" l="1"/>
  <c r="E10" i="1" s="1"/>
  <c r="D11" i="1" l="1"/>
  <c r="E11" i="1" s="1"/>
  <c r="E13" i="1" s="1"/>
</calcChain>
</file>

<file path=xl/sharedStrings.xml><?xml version="1.0" encoding="utf-8"?>
<sst xmlns="http://schemas.openxmlformats.org/spreadsheetml/2006/main" count="10" uniqueCount="10">
  <si>
    <t>Y</t>
  </si>
  <si>
    <t>f</t>
  </si>
  <si>
    <t>Y*f</t>
  </si>
  <si>
    <t>exp f</t>
  </si>
  <si>
    <t>n=</t>
  </si>
  <si>
    <t>sum=</t>
  </si>
  <si>
    <t>mean=</t>
  </si>
  <si>
    <t>obs*ln(obs/exp)</t>
  </si>
  <si>
    <t>G2=</t>
  </si>
  <si>
    <t>P=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</si>
</sst>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F6B54-24BE-486C-B1DF-AF676C9C308D}">
  <dimension ref="A1:E15"/>
  <sheetViews>
    <sheetView tabSelected="1" workbookViewId="0">
      <selection activeCell="E15" sqref="E15"/>
    </sheetView>
  </sheetViews>
  <sheetFormatPr defaultRowHeight="14.5" x14ac:dyDescent="0.35"/>
  <cols>
    <col min="4" max="4" width="12.26953125" bestFit="1" customWidth="1"/>
    <col min="5" max="5" width="17.453125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ht="15.5" x14ac:dyDescent="0.35">
      <c r="A2" s="2">
        <v>0</v>
      </c>
      <c r="B2" s="2">
        <v>22</v>
      </c>
      <c r="C2" s="2">
        <f>A2*B2</f>
        <v>0</v>
      </c>
      <c r="D2" s="2">
        <f>$B$13/EXP(C15)</f>
        <v>13.359194505025313</v>
      </c>
      <c r="E2">
        <f>B2*LN(B2/D2)</f>
        <v>10.974426729363804</v>
      </c>
    </row>
    <row r="3" spans="1:5" ht="15.5" x14ac:dyDescent="0.35">
      <c r="A3" s="2">
        <v>1</v>
      </c>
      <c r="B3" s="2">
        <v>53</v>
      </c>
      <c r="C3" s="2">
        <f t="shared" ref="C3:C11" si="0">A3*B3</f>
        <v>53</v>
      </c>
      <c r="D3" s="2">
        <f t="shared" ref="D3:D11" si="1">$D2*$C$15/A3</f>
        <v>47.791260676973401</v>
      </c>
      <c r="E3">
        <f t="shared" ref="E3:E11" si="2">B3*LN(B3/D3)</f>
        <v>5.4828034551881055</v>
      </c>
    </row>
    <row r="4" spans="1:5" ht="15.5" x14ac:dyDescent="0.35">
      <c r="A4" s="2">
        <v>2</v>
      </c>
      <c r="B4" s="2">
        <v>76</v>
      </c>
      <c r="C4" s="2">
        <f t="shared" si="0"/>
        <v>152</v>
      </c>
      <c r="D4" s="2">
        <f t="shared" si="1"/>
        <v>85.484367947305984</v>
      </c>
      <c r="E4">
        <f t="shared" si="2"/>
        <v>-8.9376142815470647</v>
      </c>
    </row>
    <row r="5" spans="1:5" ht="15.5" x14ac:dyDescent="0.35">
      <c r="A5" s="2">
        <v>3</v>
      </c>
      <c r="B5" s="2">
        <v>93</v>
      </c>
      <c r="C5" s="2">
        <f t="shared" si="0"/>
        <v>279</v>
      </c>
      <c r="D5" s="2">
        <f t="shared" si="1"/>
        <v>101.93742621331467</v>
      </c>
      <c r="E5">
        <f t="shared" si="2"/>
        <v>-8.5336486948336407</v>
      </c>
    </row>
    <row r="6" spans="1:5" ht="15.5" x14ac:dyDescent="0.35">
      <c r="A6" s="2">
        <v>4</v>
      </c>
      <c r="B6" s="2">
        <v>96</v>
      </c>
      <c r="C6" s="2">
        <f t="shared" si="0"/>
        <v>384</v>
      </c>
      <c r="D6" s="2">
        <f t="shared" si="1"/>
        <v>91.16788641462766</v>
      </c>
      <c r="E6">
        <f t="shared" si="2"/>
        <v>4.9579659882156859</v>
      </c>
    </row>
    <row r="7" spans="1:5" ht="15.5" x14ac:dyDescent="0.35">
      <c r="A7" s="2">
        <v>5</v>
      </c>
      <c r="B7" s="2">
        <v>59</v>
      </c>
      <c r="C7" s="2">
        <f t="shared" si="0"/>
        <v>295</v>
      </c>
      <c r="D7" s="2">
        <f t="shared" si="1"/>
        <v>65.228906179503468</v>
      </c>
      <c r="E7">
        <f t="shared" si="2"/>
        <v>-5.9215511122718052</v>
      </c>
    </row>
    <row r="8" spans="1:5" ht="15.5" x14ac:dyDescent="0.35">
      <c r="A8" s="2">
        <v>6</v>
      </c>
      <c r="B8" s="2">
        <v>36</v>
      </c>
      <c r="C8" s="2">
        <f t="shared" si="0"/>
        <v>216</v>
      </c>
      <c r="D8" s="2">
        <f t="shared" si="1"/>
        <v>38.8917118434278</v>
      </c>
      <c r="E8">
        <f t="shared" si="2"/>
        <v>-2.7814401473816388</v>
      </c>
    </row>
    <row r="9" spans="1:5" ht="15.5" x14ac:dyDescent="0.35">
      <c r="A9" s="2">
        <v>7</v>
      </c>
      <c r="B9" s="2">
        <v>24</v>
      </c>
      <c r="C9" s="2">
        <f t="shared" si="0"/>
        <v>168</v>
      </c>
      <c r="D9" s="2">
        <f t="shared" si="1"/>
        <v>19.875919680891077</v>
      </c>
      <c r="E9">
        <f t="shared" si="2"/>
        <v>4.5250775430178267</v>
      </c>
    </row>
    <row r="10" spans="1:5" ht="15.5" x14ac:dyDescent="0.35">
      <c r="A10" s="2">
        <v>8</v>
      </c>
      <c r="B10" s="2">
        <v>8</v>
      </c>
      <c r="C10" s="2">
        <f t="shared" si="0"/>
        <v>64</v>
      </c>
      <c r="D10" s="2">
        <f t="shared" si="1"/>
        <v>8.8880289368001417</v>
      </c>
      <c r="E10">
        <f t="shared" si="2"/>
        <v>-0.84211013094224529</v>
      </c>
    </row>
    <row r="11" spans="1:5" ht="15.5" x14ac:dyDescent="0.35">
      <c r="A11" s="2">
        <v>9</v>
      </c>
      <c r="B11" s="2">
        <v>11</v>
      </c>
      <c r="C11" s="2">
        <f t="shared" si="0"/>
        <v>99</v>
      </c>
      <c r="D11" s="2">
        <f t="shared" si="1"/>
        <v>3.5328985313640731</v>
      </c>
      <c r="E11">
        <f t="shared" si="2"/>
        <v>12.493542875898962</v>
      </c>
    </row>
    <row r="12" spans="1:5" ht="15.5" x14ac:dyDescent="0.35">
      <c r="B12" s="2" t="s">
        <v>4</v>
      </c>
      <c r="C12" s="2" t="s">
        <v>5</v>
      </c>
      <c r="E12" t="s">
        <v>8</v>
      </c>
    </row>
    <row r="13" spans="1:5" x14ac:dyDescent="0.35">
      <c r="B13">
        <f>SUM(B2:B11)</f>
        <v>478</v>
      </c>
      <c r="C13">
        <f>SUM(C2:C11)</f>
        <v>1710</v>
      </c>
      <c r="E13">
        <f>2*SUM(E2:E11)</f>
        <v>22.83490444941598</v>
      </c>
    </row>
    <row r="14" spans="1:5" x14ac:dyDescent="0.35">
      <c r="C14" t="s">
        <v>6</v>
      </c>
      <c r="E14" t="s">
        <v>9</v>
      </c>
    </row>
    <row r="15" spans="1:5" x14ac:dyDescent="0.35">
      <c r="C15">
        <f>C13/B13</f>
        <v>3.5774058577405858</v>
      </c>
      <c r="E15">
        <f>CHIDIST(E13, 8)</f>
        <v>3.5828039327596654E-3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, Shane</dc:creator>
  <cp:lastModifiedBy>Jordan, Shane</cp:lastModifiedBy>
  <dcterms:created xsi:type="dcterms:W3CDTF">2025-10-27T00:26:32Z</dcterms:created>
  <dcterms:modified xsi:type="dcterms:W3CDTF">2026-09-14T21:59:26Z</dcterms:modified>
</cp:coreProperties>
</file>