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studio\"/>
    </mc:Choice>
  </mc:AlternateContent>
  <xr:revisionPtr revIDLastSave="0" documentId="8_{59874F0B-0837-4417-AC8B-1CC7D587A56E}" xr6:coauthVersionLast="47" xr6:coauthVersionMax="47" xr10:uidLastSave="{00000000-0000-0000-0000-000000000000}"/>
  <bookViews>
    <workbookView xWindow="-43" yWindow="720" windowWidth="12926" windowHeight="14631" xr2:uid="{74DE5C2B-8D58-4116-8DCC-35F2BD5015AD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1" l="1"/>
  <c r="K27" i="1"/>
  <c r="K25" i="1"/>
  <c r="J25" i="1"/>
  <c r="H31" i="1"/>
  <c r="H30" i="1"/>
  <c r="H29" i="1"/>
  <c r="G29" i="1"/>
  <c r="H28" i="1"/>
  <c r="G28" i="1"/>
  <c r="I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H2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" i="1"/>
  <c r="G2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E27" i="1"/>
  <c r="E26" i="1"/>
  <c r="E25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" i="1"/>
  <c r="D2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  <c r="C24" i="1"/>
  <c r="B24" i="1"/>
</calcChain>
</file>

<file path=xl/sharedStrings.xml><?xml version="1.0" encoding="utf-8"?>
<sst xmlns="http://schemas.openxmlformats.org/spreadsheetml/2006/main" count="51" uniqueCount="43">
  <si>
    <t>Abs (x)</t>
  </si>
  <si>
    <t>Area (y)</t>
  </si>
  <si>
    <t>Mean</t>
  </si>
  <si>
    <t>xy cross</t>
  </si>
  <si>
    <t>Sum</t>
  </si>
  <si>
    <t>sq x dev</t>
  </si>
  <si>
    <t>y hat</t>
  </si>
  <si>
    <t>Slope</t>
  </si>
  <si>
    <t>Intercept</t>
  </si>
  <si>
    <t>regression</t>
  </si>
  <si>
    <t>residual</t>
  </si>
  <si>
    <t>GLM</t>
  </si>
  <si>
    <t>Total</t>
  </si>
  <si>
    <t>df</t>
  </si>
  <si>
    <t>MS</t>
  </si>
  <si>
    <t>F</t>
  </si>
  <si>
    <t>P</t>
  </si>
  <si>
    <t>R2</t>
  </si>
  <si>
    <t>Cov</t>
  </si>
  <si>
    <t>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</si>
  <si>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</si>
  <si>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</si>
  <si>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</si>
  <si>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</si>
  <si>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</si>
  <si>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</si>
  <si>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</si>
  <si>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</si>
  <si>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</si>
  <si>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</si>
  <si>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SS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</si>
  <si>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</si>
  <si>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</si>
  <si>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</si>
  <si>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</si>
  <si>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</si>
  <si>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</si>
  <si>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</si>
  <si>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</si>
  <si>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</si>
  <si>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</si>
  <si>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Area (y)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</si>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</sst>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07BBCE6-99F3-4B48-9A00-ABE68E2346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3111-38C0-4B21-B7E6-95B18F4AEF4B}">
  <dimension ref="A1:I46"/>
  <sheetViews>
    <sheetView tabSelected="1" topLeftCell="D1" workbookViewId="0">
      <selection activeCell="H29" sqref="H29"/>
    </sheetView>
  </sheetViews>
  <sheetFormatPr defaultRowHeight="14.6" x14ac:dyDescent="0.4"/>
  <cols>
    <col min="1" max="1" width="16.84375" customWidth="1"/>
    <col min="2" max="2" width="18.15234375" customWidth="1"/>
    <col min="3" max="3" width="13.765625" customWidth="1"/>
    <col min="4" max="4" width="12.921875" customWidth="1"/>
    <col min="6" max="6" width="13.53515625" customWidth="1"/>
    <col min="7" max="7" width="11" customWidth="1"/>
    <col min="8" max="8" width="13.15234375" customWidth="1"/>
    <col min="9" max="9" width="12.765625" customWidth="1"/>
  </cols>
  <sheetData>
    <row r="1" spans="1:9" x14ac:dyDescent="0.4">
      <c r="A1" t="s">
        <v>20</v>
      </c>
    </row>
    <row r="2" spans="1:9" ht="15" thickBot="1" x14ac:dyDescent="0.45"/>
    <row r="3" spans="1:9" x14ac:dyDescent="0.4">
      <c r="A3" s="4" t="s">
        <v>21</v>
      </c>
      <c r="B3" s="4"/>
    </row>
    <row r="4" spans="1:9" x14ac:dyDescent="0.4">
      <c r="A4" s="1" t="s">
        <v>22</v>
      </c>
      <c r="B4" s="1">
        <v>0.99075795890574447</v>
      </c>
    </row>
    <row r="5" spans="1:9" x14ac:dyDescent="0.4">
      <c r="A5" s="1" t="s">
        <v>23</v>
      </c>
      <c r="B5" s="1">
        <v>0.98160133313507691</v>
      </c>
    </row>
    <row r="6" spans="1:9" x14ac:dyDescent="0.4">
      <c r="A6" s="1" t="s">
        <v>24</v>
      </c>
      <c r="B6" s="1">
        <v>0.98068139979183078</v>
      </c>
    </row>
    <row r="7" spans="1:9" x14ac:dyDescent="0.4">
      <c r="A7" s="1" t="s">
        <v>25</v>
      </c>
      <c r="B7" s="1">
        <v>34.174616115021529</v>
      </c>
    </row>
    <row r="8" spans="1:9" ht="15" thickBot="1" x14ac:dyDescent="0.45">
      <c r="A8" s="2" t="s">
        <v>26</v>
      </c>
      <c r="B8" s="2">
        <v>22</v>
      </c>
    </row>
    <row r="10" spans="1:9" ht="15" thickBot="1" x14ac:dyDescent="0.45">
      <c r="A10" t="s">
        <v>27</v>
      </c>
    </row>
    <row r="11" spans="1:9" x14ac:dyDescent="0.4">
      <c r="A11" s="3"/>
      <c r="B11" s="3" t="s">
        <v>13</v>
      </c>
      <c r="C11" s="3" t="s">
        <v>30</v>
      </c>
      <c r="D11" s="3" t="s">
        <v>14</v>
      </c>
      <c r="E11" s="3" t="s">
        <v>15</v>
      </c>
      <c r="F11" s="3" t="s">
        <v>31</v>
      </c>
    </row>
    <row r="12" spans="1:9" x14ac:dyDescent="0.4">
      <c r="A12" s="1" t="s">
        <v>28</v>
      </c>
      <c r="B12" s="1">
        <v>1</v>
      </c>
      <c r="C12" s="1">
        <v>1246195.1849950911</v>
      </c>
      <c r="D12" s="1">
        <v>1246195.1849950911</v>
      </c>
      <c r="E12" s="1">
        <v>1067.0352806990586</v>
      </c>
      <c r="F12" s="1">
        <v>7.8981490408200283E-19</v>
      </c>
    </row>
    <row r="13" spans="1:9" x14ac:dyDescent="0.4">
      <c r="A13" s="1" t="s">
        <v>29</v>
      </c>
      <c r="B13" s="1">
        <v>20</v>
      </c>
      <c r="C13" s="1">
        <v>23358.087732181779</v>
      </c>
      <c r="D13" s="1">
        <v>1167.904386609089</v>
      </c>
      <c r="E13" s="1"/>
      <c r="F13" s="1"/>
    </row>
    <row r="14" spans="1:9" ht="15" thickBot="1" x14ac:dyDescent="0.45">
      <c r="A14" s="2" t="s">
        <v>12</v>
      </c>
      <c r="B14" s="2">
        <v>21</v>
      </c>
      <c r="C14" s="2">
        <v>1269553.2727272729</v>
      </c>
      <c r="D14" s="2"/>
      <c r="E14" s="2"/>
      <c r="F14" s="2"/>
    </row>
    <row r="15" spans="1:9" ht="15" thickBot="1" x14ac:dyDescent="0.45"/>
    <row r="16" spans="1:9" x14ac:dyDescent="0.4">
      <c r="A16" s="3"/>
      <c r="B16" s="3" t="s">
        <v>32</v>
      </c>
      <c r="C16" s="3" t="s">
        <v>25</v>
      </c>
      <c r="D16" s="3" t="s">
        <v>33</v>
      </c>
      <c r="E16" s="3" t="s">
        <v>34</v>
      </c>
      <c r="F16" s="3" t="s">
        <v>35</v>
      </c>
      <c r="G16" s="3" t="s">
        <v>36</v>
      </c>
      <c r="H16" s="3" t="s">
        <v>37</v>
      </c>
      <c r="I16" s="3" t="s">
        <v>38</v>
      </c>
    </row>
    <row r="17" spans="1:9" x14ac:dyDescent="0.4">
      <c r="A17" s="1" t="s">
        <v>8</v>
      </c>
      <c r="B17" s="1">
        <v>64.442144055406914</v>
      </c>
      <c r="C17" s="1">
        <v>13.451900106699908</v>
      </c>
      <c r="D17" s="1">
        <v>4.7905607047520817</v>
      </c>
      <c r="E17" s="1">
        <v>1.1141334315462684E-4</v>
      </c>
      <c r="F17" s="1">
        <v>36.381972136559121</v>
      </c>
      <c r="G17" s="1">
        <v>92.502315974254714</v>
      </c>
      <c r="H17" s="1">
        <v>36.381972136559121</v>
      </c>
      <c r="I17" s="1">
        <v>92.502315974254714</v>
      </c>
    </row>
    <row r="18" spans="1:9" ht="15" thickBot="1" x14ac:dyDescent="0.45">
      <c r="A18" s="2" t="s">
        <v>0</v>
      </c>
      <c r="B18" s="2">
        <v>6077.9901501728109</v>
      </c>
      <c r="C18" s="2">
        <v>186.06753419188533</v>
      </c>
      <c r="D18" s="2">
        <v>32.665505976474002</v>
      </c>
      <c r="E18" s="2">
        <v>7.8981490408200283E-19</v>
      </c>
      <c r="F18" s="2">
        <v>5689.8600751256463</v>
      </c>
      <c r="G18" s="2">
        <v>6466.1202252199755</v>
      </c>
      <c r="H18" s="2">
        <v>5689.8600751256463</v>
      </c>
      <c r="I18" s="2">
        <v>6466.1202252199755</v>
      </c>
    </row>
    <row r="22" spans="1:9" x14ac:dyDescent="0.4">
      <c r="A22" t="s">
        <v>39</v>
      </c>
    </row>
    <row r="23" spans="1:9" ht="15" thickBot="1" x14ac:dyDescent="0.45"/>
    <row r="24" spans="1:9" x14ac:dyDescent="0.4">
      <c r="A24" s="3" t="s">
        <v>40</v>
      </c>
      <c r="B24" s="3" t="s">
        <v>41</v>
      </c>
      <c r="C24" s="3" t="s">
        <v>42</v>
      </c>
    </row>
    <row r="25" spans="1:9" x14ac:dyDescent="0.4">
      <c r="A25" s="1">
        <v>1</v>
      </c>
      <c r="B25" s="1">
        <v>82.676114505925341</v>
      </c>
      <c r="C25" s="1">
        <v>-22.676114505925341</v>
      </c>
    </row>
    <row r="26" spans="1:9" x14ac:dyDescent="0.4">
      <c r="A26" s="1">
        <v>2</v>
      </c>
      <c r="B26" s="1">
        <v>88.75410465609815</v>
      </c>
      <c r="C26" s="1">
        <v>-23.75410465609815</v>
      </c>
    </row>
    <row r="27" spans="1:9" x14ac:dyDescent="0.4">
      <c r="A27" s="1">
        <v>3</v>
      </c>
      <c r="B27" s="1">
        <v>131.30003570730781</v>
      </c>
      <c r="C27" s="1">
        <v>31.699964292692187</v>
      </c>
    </row>
    <row r="28" spans="1:9" x14ac:dyDescent="0.4">
      <c r="A28" s="1">
        <v>4</v>
      </c>
      <c r="B28" s="1">
        <v>125.22204555713503</v>
      </c>
      <c r="C28" s="1">
        <v>39.777954442864967</v>
      </c>
    </row>
    <row r="29" spans="1:9" x14ac:dyDescent="0.4">
      <c r="A29" s="1">
        <v>5</v>
      </c>
      <c r="B29" s="1">
        <v>228.54787811007282</v>
      </c>
      <c r="C29" s="1">
        <v>11.452121889927184</v>
      </c>
    </row>
    <row r="30" spans="1:9" x14ac:dyDescent="0.4">
      <c r="A30" s="1">
        <v>6</v>
      </c>
      <c r="B30" s="1">
        <v>246.78184856059124</v>
      </c>
      <c r="C30" s="1">
        <v>10.218151439408757</v>
      </c>
    </row>
    <row r="31" spans="1:9" x14ac:dyDescent="0.4">
      <c r="A31" s="1">
        <v>7</v>
      </c>
      <c r="B31" s="1">
        <v>271.09380916128248</v>
      </c>
      <c r="C31" s="1">
        <v>-7.0938091612824792</v>
      </c>
    </row>
    <row r="32" spans="1:9" x14ac:dyDescent="0.4">
      <c r="A32" s="1">
        <v>8</v>
      </c>
      <c r="B32" s="1">
        <v>295.40576976197372</v>
      </c>
      <c r="C32" s="1">
        <v>-26.405769761973716</v>
      </c>
    </row>
    <row r="33" spans="1:3" x14ac:dyDescent="0.4">
      <c r="A33" s="1">
        <v>9</v>
      </c>
      <c r="B33" s="1">
        <v>325.79572051283776</v>
      </c>
      <c r="C33" s="1">
        <v>16.204279487162239</v>
      </c>
    </row>
    <row r="34" spans="1:3" x14ac:dyDescent="0.4">
      <c r="A34" s="1">
        <v>10</v>
      </c>
      <c r="B34" s="1">
        <v>344.02969096335619</v>
      </c>
      <c r="C34" s="1">
        <v>0.97030903664381185</v>
      </c>
    </row>
    <row r="35" spans="1:3" x14ac:dyDescent="0.4">
      <c r="A35" s="1">
        <v>11</v>
      </c>
      <c r="B35" s="1">
        <v>374.41964171422023</v>
      </c>
      <c r="C35" s="1">
        <v>35.580358285779766</v>
      </c>
    </row>
    <row r="36" spans="1:3" x14ac:dyDescent="0.4">
      <c r="A36" s="1">
        <v>12</v>
      </c>
      <c r="B36" s="1">
        <v>435.19954321594838</v>
      </c>
      <c r="C36" s="1">
        <v>-18.199543215948381</v>
      </c>
    </row>
    <row r="37" spans="1:3" x14ac:dyDescent="0.4">
      <c r="A37" s="1">
        <v>13</v>
      </c>
      <c r="B37" s="1">
        <v>453.43351366646681</v>
      </c>
      <c r="C37" s="1">
        <v>-21.433513666466808</v>
      </c>
    </row>
    <row r="38" spans="1:3" x14ac:dyDescent="0.4">
      <c r="A38" s="1">
        <v>14</v>
      </c>
      <c r="B38" s="1">
        <v>483.82346441733091</v>
      </c>
      <c r="C38" s="1">
        <v>-45.823464417330911</v>
      </c>
    </row>
    <row r="39" spans="1:3" x14ac:dyDescent="0.4">
      <c r="A39" s="1">
        <v>15</v>
      </c>
      <c r="B39" s="1">
        <v>495.97944471767647</v>
      </c>
      <c r="C39" s="1">
        <v>32.020555282323528</v>
      </c>
    </row>
    <row r="40" spans="1:3" x14ac:dyDescent="0.4">
      <c r="A40" s="1">
        <v>16</v>
      </c>
      <c r="B40" s="1">
        <v>617.5392477211326</v>
      </c>
      <c r="C40" s="1">
        <v>-69.539247721132597</v>
      </c>
    </row>
    <row r="41" spans="1:3" x14ac:dyDescent="0.4">
      <c r="A41" s="1">
        <v>17</v>
      </c>
      <c r="B41" s="1">
        <v>726.94307042424339</v>
      </c>
      <c r="C41" s="1">
        <v>-36.943070424243388</v>
      </c>
    </row>
    <row r="42" spans="1:3" x14ac:dyDescent="0.4">
      <c r="A42" s="1">
        <v>18</v>
      </c>
      <c r="B42" s="1">
        <v>739.09905072458901</v>
      </c>
      <c r="C42" s="1">
        <v>-40.099050724589006</v>
      </c>
    </row>
    <row r="43" spans="1:3" x14ac:dyDescent="0.4">
      <c r="A43" s="1">
        <v>19</v>
      </c>
      <c r="B43" s="1">
        <v>751.25503102493462</v>
      </c>
      <c r="C43" s="1">
        <v>23.744968975065376</v>
      </c>
    </row>
    <row r="44" spans="1:3" x14ac:dyDescent="0.4">
      <c r="A44" s="1">
        <v>20</v>
      </c>
      <c r="B44" s="1">
        <v>763.41101132528024</v>
      </c>
      <c r="C44" s="1">
        <v>13.588988674719758</v>
      </c>
    </row>
    <row r="45" spans="1:3" x14ac:dyDescent="0.4">
      <c r="A45" s="1">
        <v>21</v>
      </c>
      <c r="B45" s="1">
        <v>775.56699162562586</v>
      </c>
      <c r="C45" s="1">
        <v>44.43300837437414</v>
      </c>
    </row>
    <row r="46" spans="1:3" ht="15" thickBot="1" x14ac:dyDescent="0.45">
      <c r="A46" s="2">
        <v>22</v>
      </c>
      <c r="B46" s="2">
        <v>787.72297192597148</v>
      </c>
      <c r="C46" s="2">
        <v>52.277028074028522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7634-7B92-434C-A6C0-8120E15AFEF5}">
  <dimension ref="A1:K31"/>
  <sheetViews>
    <sheetView workbookViewId="0">
      <selection activeCell="K30" sqref="K30"/>
    </sheetView>
  </sheetViews>
  <sheetFormatPr defaultRowHeight="14.6" x14ac:dyDescent="0.4"/>
  <cols>
    <col min="8" max="8" width="11.84375" bestFit="1" customWidth="1"/>
  </cols>
  <sheetData>
    <row r="1" spans="2:9" x14ac:dyDescent="0.4">
      <c r="B1" t="s">
        <v>0</v>
      </c>
      <c r="C1" t="s">
        <v>1</v>
      </c>
      <c r="D1" t="s">
        <v>3</v>
      </c>
      <c r="E1" t="s">
        <v>5</v>
      </c>
      <c r="F1" t="s">
        <v>6</v>
      </c>
      <c r="G1" t="s">
        <v>9</v>
      </c>
      <c r="H1" t="s">
        <v>10</v>
      </c>
      <c r="I1" t="s">
        <v>11</v>
      </c>
    </row>
    <row r="2" spans="2:9" x14ac:dyDescent="0.4">
      <c r="B2">
        <v>3.0000000000000001E-3</v>
      </c>
      <c r="C2">
        <v>60</v>
      </c>
      <c r="D2">
        <f>(B2-$B$24)*(C2-$C$24)</f>
        <v>21.596495867768592</v>
      </c>
      <c r="E2">
        <f>(B2-$B$24)^2</f>
        <v>3.337688016528925E-3</v>
      </c>
      <c r="F2">
        <f>($E$26*B2)+($E$27)</f>
        <v>82.676114505925341</v>
      </c>
      <c r="G2">
        <f>(F2-$C$24)^2</f>
        <v>123300.75143632526</v>
      </c>
      <c r="H2">
        <f>(C2-F2)^2</f>
        <v>514.2061690858377</v>
      </c>
      <c r="I2">
        <f>$E$27+($E$26*B2)+(C2-F2)</f>
        <v>60</v>
      </c>
    </row>
    <row r="3" spans="2:9" x14ac:dyDescent="0.4">
      <c r="B3">
        <v>4.0000000000000001E-3</v>
      </c>
      <c r="C3">
        <v>65</v>
      </c>
      <c r="D3">
        <f t="shared" ref="D3:D23" si="0">(B3-$B$24)*(C3-$C$24)</f>
        <v>20.938814049586775</v>
      </c>
      <c r="E3">
        <f t="shared" ref="E3:E23" si="1">(B3-$B$24)^2</f>
        <v>3.2231425619834702E-3</v>
      </c>
      <c r="F3">
        <f t="shared" ref="F3:F23" si="2">($E$26*B3)+($E$27)</f>
        <v>88.75410465609815</v>
      </c>
      <c r="G3">
        <f t="shared" ref="G3:G23" si="3">(F3-$C$24)^2</f>
        <v>119069.21734772043</v>
      </c>
      <c r="H3">
        <f t="shared" ref="H3:H23" si="4">(C3-F3)^2</f>
        <v>564.25748801286386</v>
      </c>
      <c r="I3">
        <f t="shared" ref="I3:I23" si="5">$E$27+($E$26*B3)+(C3-F3)</f>
        <v>65</v>
      </c>
    </row>
    <row r="4" spans="2:9" x14ac:dyDescent="0.4">
      <c r="B4">
        <v>1.0999999999999999E-2</v>
      </c>
      <c r="C4">
        <v>163</v>
      </c>
      <c r="D4">
        <f t="shared" si="0"/>
        <v>13.479359504132232</v>
      </c>
      <c r="E4">
        <f t="shared" si="1"/>
        <v>2.4773243801652894E-3</v>
      </c>
      <c r="F4">
        <f t="shared" si="2"/>
        <v>131.30003570730781</v>
      </c>
      <c r="G4">
        <f t="shared" si="3"/>
        <v>91517.228726360103</v>
      </c>
      <c r="H4">
        <f t="shared" si="4"/>
        <v>1004.8877361579597</v>
      </c>
      <c r="I4">
        <f t="shared" si="5"/>
        <v>163</v>
      </c>
    </row>
    <row r="5" spans="2:9" x14ac:dyDescent="0.4">
      <c r="B5">
        <v>0.01</v>
      </c>
      <c r="C5">
        <v>165</v>
      </c>
      <c r="D5">
        <f t="shared" si="0"/>
        <v>13.648632231404957</v>
      </c>
      <c r="E5">
        <f t="shared" si="1"/>
        <v>2.5778698347107432E-3</v>
      </c>
      <c r="F5">
        <f t="shared" si="2"/>
        <v>125.22204555713503</v>
      </c>
      <c r="G5">
        <f t="shared" si="3"/>
        <v>95231.575315246562</v>
      </c>
      <c r="H5">
        <f t="shared" si="4"/>
        <v>1582.2856596586407</v>
      </c>
      <c r="I5">
        <f t="shared" si="5"/>
        <v>165</v>
      </c>
    </row>
    <row r="6" spans="2:9" x14ac:dyDescent="0.4">
      <c r="B6">
        <v>2.7E-2</v>
      </c>
      <c r="C6">
        <v>240</v>
      </c>
      <c r="D6">
        <f t="shared" si="0"/>
        <v>6.5457685950413227</v>
      </c>
      <c r="E6">
        <f t="shared" si="1"/>
        <v>1.1405971074380165E-3</v>
      </c>
      <c r="F6">
        <f t="shared" si="2"/>
        <v>228.54787811007282</v>
      </c>
      <c r="G6">
        <f t="shared" si="3"/>
        <v>42135.897584419305</v>
      </c>
      <c r="H6">
        <f t="shared" si="4"/>
        <v>131.15109578174938</v>
      </c>
      <c r="I6">
        <f t="shared" si="5"/>
        <v>240</v>
      </c>
    </row>
    <row r="7" spans="2:9" x14ac:dyDescent="0.4">
      <c r="B7">
        <v>0.03</v>
      </c>
      <c r="C7">
        <v>257</v>
      </c>
      <c r="D7">
        <f t="shared" si="0"/>
        <v>5.4411776859504126</v>
      </c>
      <c r="E7">
        <f t="shared" si="1"/>
        <v>9.4696074380165281E-4</v>
      </c>
      <c r="F7">
        <f t="shared" si="2"/>
        <v>246.78184856059124</v>
      </c>
      <c r="G7">
        <f t="shared" si="3"/>
        <v>34982.589958444478</v>
      </c>
      <c r="H7">
        <f t="shared" si="4"/>
        <v>104.41061883869125</v>
      </c>
      <c r="I7">
        <f t="shared" si="5"/>
        <v>257</v>
      </c>
    </row>
    <row r="8" spans="2:9" x14ac:dyDescent="0.4">
      <c r="B8">
        <v>3.4000000000000002E-2</v>
      </c>
      <c r="C8">
        <v>264</v>
      </c>
      <c r="D8">
        <f t="shared" si="0"/>
        <v>4.546495867768594</v>
      </c>
      <c r="E8">
        <f t="shared" si="1"/>
        <v>7.1677892561983442E-4</v>
      </c>
      <c r="F8">
        <f t="shared" si="2"/>
        <v>271.09380916128248</v>
      </c>
      <c r="G8">
        <f t="shared" si="3"/>
        <v>26479.221456581447</v>
      </c>
      <c r="H8">
        <f t="shared" si="4"/>
        <v>50.322128416695229</v>
      </c>
      <c r="I8">
        <f t="shared" si="5"/>
        <v>264</v>
      </c>
    </row>
    <row r="9" spans="2:9" x14ac:dyDescent="0.4">
      <c r="B9">
        <v>3.7999999999999999E-2</v>
      </c>
      <c r="C9">
        <v>269</v>
      </c>
      <c r="D9">
        <f t="shared" si="0"/>
        <v>3.7533595041322312</v>
      </c>
      <c r="E9">
        <f t="shared" si="1"/>
        <v>5.1859710743801647E-4</v>
      </c>
      <c r="F9">
        <f t="shared" si="2"/>
        <v>295.40576976197372</v>
      </c>
      <c r="G9">
        <f t="shared" si="3"/>
        <v>19157.995811217541</v>
      </c>
      <c r="H9">
        <f t="shared" si="4"/>
        <v>697.26467672236538</v>
      </c>
      <c r="I9">
        <f t="shared" si="5"/>
        <v>269</v>
      </c>
    </row>
    <row r="10" spans="2:9" x14ac:dyDescent="0.4">
      <c r="B10">
        <v>4.2999999999999997E-2</v>
      </c>
      <c r="C10">
        <v>342</v>
      </c>
      <c r="D10">
        <f t="shared" si="0"/>
        <v>1.6318595041322315</v>
      </c>
      <c r="E10">
        <f t="shared" si="1"/>
        <v>3.1586983471074381E-4</v>
      </c>
      <c r="F10">
        <f t="shared" si="2"/>
        <v>325.79572051283776</v>
      </c>
      <c r="G10">
        <f t="shared" si="3"/>
        <v>11668.852146464553</v>
      </c>
      <c r="H10">
        <f t="shared" si="4"/>
        <v>262.57867369806689</v>
      </c>
      <c r="I10">
        <f t="shared" si="5"/>
        <v>342</v>
      </c>
    </row>
    <row r="11" spans="2:9" x14ac:dyDescent="0.4">
      <c r="B11">
        <v>4.5999999999999999E-2</v>
      </c>
      <c r="C11">
        <v>345</v>
      </c>
      <c r="D11">
        <f t="shared" si="0"/>
        <v>1.3120867768595039</v>
      </c>
      <c r="E11">
        <f t="shared" si="1"/>
        <v>2.182334710743801E-4</v>
      </c>
      <c r="F11">
        <f t="shared" si="2"/>
        <v>344.02969096335619</v>
      </c>
      <c r="G11">
        <f t="shared" si="3"/>
        <v>8061.9730899871047</v>
      </c>
      <c r="H11">
        <f t="shared" si="4"/>
        <v>0.94149962659264219</v>
      </c>
      <c r="I11">
        <f t="shared" si="5"/>
        <v>345</v>
      </c>
    </row>
    <row r="12" spans="2:9" x14ac:dyDescent="0.4">
      <c r="B12">
        <v>5.0999999999999997E-2</v>
      </c>
      <c r="C12">
        <v>410</v>
      </c>
      <c r="D12">
        <f t="shared" si="0"/>
        <v>0.23276859504132227</v>
      </c>
      <c r="E12">
        <f t="shared" si="1"/>
        <v>9.5506198347107446E-5</v>
      </c>
      <c r="F12">
        <f t="shared" si="2"/>
        <v>374.41964171422023</v>
      </c>
      <c r="G12">
        <f t="shared" si="3"/>
        <v>3528.186566481932</v>
      </c>
      <c r="H12">
        <f t="shared" si="4"/>
        <v>1265.9618957444568</v>
      </c>
      <c r="I12">
        <f t="shared" si="5"/>
        <v>410</v>
      </c>
    </row>
    <row r="13" spans="2:9" x14ac:dyDescent="0.4">
      <c r="B13">
        <v>6.0999999999999999E-2</v>
      </c>
      <c r="C13">
        <v>417</v>
      </c>
      <c r="D13">
        <f t="shared" si="0"/>
        <v>-3.8223140495868002E-3</v>
      </c>
      <c r="E13">
        <f t="shared" si="1"/>
        <v>5.1652892561984137E-8</v>
      </c>
      <c r="F13">
        <f t="shared" si="2"/>
        <v>435.19954321594838</v>
      </c>
      <c r="G13">
        <f t="shared" si="3"/>
        <v>1.9081593112396069</v>
      </c>
      <c r="H13">
        <f t="shared" si="4"/>
        <v>331.22337326917273</v>
      </c>
      <c r="I13">
        <f t="shared" si="5"/>
        <v>417</v>
      </c>
    </row>
    <row r="14" spans="2:9" x14ac:dyDescent="0.4">
      <c r="B14">
        <v>6.4000000000000001E-2</v>
      </c>
      <c r="C14">
        <v>432</v>
      </c>
      <c r="D14">
        <f t="shared" si="0"/>
        <v>-5.8677685950413129E-3</v>
      </c>
      <c r="E14">
        <f t="shared" si="1"/>
        <v>1.0415289256198374E-5</v>
      </c>
      <c r="F14">
        <f t="shared" si="2"/>
        <v>453.43351366646681</v>
      </c>
      <c r="G14">
        <f t="shared" si="3"/>
        <v>384.76124351834363</v>
      </c>
      <c r="H14">
        <f t="shared" si="4"/>
        <v>459.39550809061944</v>
      </c>
      <c r="I14">
        <f t="shared" si="5"/>
        <v>432</v>
      </c>
    </row>
    <row r="15" spans="2:9" x14ac:dyDescent="0.4">
      <c r="B15">
        <v>6.9000000000000006E-2</v>
      </c>
      <c r="C15">
        <v>438</v>
      </c>
      <c r="D15">
        <f t="shared" si="0"/>
        <v>3.4404958677686032E-2</v>
      </c>
      <c r="E15">
        <f t="shared" si="1"/>
        <v>6.7688016528925763E-5</v>
      </c>
      <c r="F15">
        <f t="shared" si="2"/>
        <v>483.82346441733091</v>
      </c>
      <c r="G15">
        <f t="shared" si="3"/>
        <v>2500.5282878207636</v>
      </c>
      <c r="H15">
        <f t="shared" si="4"/>
        <v>2099.789891206392</v>
      </c>
      <c r="I15">
        <f t="shared" si="5"/>
        <v>438</v>
      </c>
    </row>
    <row r="16" spans="2:9" x14ac:dyDescent="0.4">
      <c r="B16">
        <v>7.0999999999999994E-2</v>
      </c>
      <c r="C16">
        <v>528</v>
      </c>
      <c r="D16">
        <f t="shared" si="0"/>
        <v>0.96322314049586744</v>
      </c>
      <c r="E16">
        <f t="shared" si="1"/>
        <v>1.0459710743801645E-4</v>
      </c>
      <c r="F16">
        <f t="shared" si="2"/>
        <v>495.97944471767647</v>
      </c>
      <c r="G16">
        <f t="shared" si="3"/>
        <v>3864.022605260091</v>
      </c>
      <c r="H16">
        <f t="shared" si="4"/>
        <v>1025.3159605883372</v>
      </c>
      <c r="I16">
        <f t="shared" si="5"/>
        <v>528</v>
      </c>
    </row>
    <row r="17" spans="1:11" x14ac:dyDescent="0.4">
      <c r="B17">
        <v>9.0999999999999998E-2</v>
      </c>
      <c r="C17">
        <v>548</v>
      </c>
      <c r="D17">
        <f t="shared" si="0"/>
        <v>3.4514049586776863</v>
      </c>
      <c r="E17">
        <f t="shared" si="1"/>
        <v>9.1368801652892565E-4</v>
      </c>
      <c r="F17">
        <f t="shared" si="2"/>
        <v>617.5392477211326</v>
      </c>
      <c r="G17">
        <f t="shared" si="3"/>
        <v>33753.430056516387</v>
      </c>
      <c r="H17">
        <f t="shared" si="4"/>
        <v>4835.7069736210451</v>
      </c>
      <c r="I17">
        <f t="shared" si="5"/>
        <v>548</v>
      </c>
    </row>
    <row r="18" spans="1:11" x14ac:dyDescent="0.4">
      <c r="B18">
        <v>0.109</v>
      </c>
      <c r="C18">
        <v>690</v>
      </c>
      <c r="D18">
        <f t="shared" si="0"/>
        <v>12.354950413223142</v>
      </c>
      <c r="E18">
        <f t="shared" si="1"/>
        <v>2.325869834710744E-3</v>
      </c>
      <c r="F18">
        <f t="shared" si="2"/>
        <v>726.94307042424339</v>
      </c>
      <c r="G18">
        <f t="shared" si="3"/>
        <v>85922.200320316013</v>
      </c>
      <c r="H18">
        <f t="shared" si="4"/>
        <v>1364.7904523706065</v>
      </c>
      <c r="I18">
        <f t="shared" si="5"/>
        <v>690</v>
      </c>
    </row>
    <row r="19" spans="1:11" x14ac:dyDescent="0.4">
      <c r="B19">
        <v>0.111</v>
      </c>
      <c r="C19">
        <v>699</v>
      </c>
      <c r="D19">
        <f t="shared" si="0"/>
        <v>13.319359504132233</v>
      </c>
      <c r="E19">
        <f t="shared" si="1"/>
        <v>2.5227789256198349E-3</v>
      </c>
      <c r="F19">
        <f t="shared" si="2"/>
        <v>739.09905072458901</v>
      </c>
      <c r="G19">
        <f t="shared" si="3"/>
        <v>93196.408920250979</v>
      </c>
      <c r="H19">
        <f t="shared" si="4"/>
        <v>1607.9338690131622</v>
      </c>
      <c r="I19">
        <f t="shared" si="5"/>
        <v>699</v>
      </c>
    </row>
    <row r="20" spans="1:11" x14ac:dyDescent="0.4">
      <c r="B20">
        <v>0.113</v>
      </c>
      <c r="C20">
        <v>775</v>
      </c>
      <c r="D20">
        <f t="shared" si="0"/>
        <v>17.818995867768596</v>
      </c>
      <c r="E20">
        <f t="shared" si="1"/>
        <v>2.727688016528926E-3</v>
      </c>
      <c r="F20">
        <f t="shared" si="2"/>
        <v>751.25503102493462</v>
      </c>
      <c r="G20">
        <f t="shared" si="3"/>
        <v>100766.15323431072</v>
      </c>
      <c r="H20">
        <f t="shared" si="4"/>
        <v>563.82355162681722</v>
      </c>
      <c r="I20">
        <f t="shared" si="5"/>
        <v>775</v>
      </c>
    </row>
    <row r="21" spans="1:11" x14ac:dyDescent="0.4">
      <c r="B21">
        <v>0.115</v>
      </c>
      <c r="C21">
        <v>777</v>
      </c>
      <c r="D21">
        <f t="shared" si="0"/>
        <v>18.609814049586781</v>
      </c>
      <c r="E21">
        <f t="shared" si="1"/>
        <v>2.9405971074380173E-3</v>
      </c>
      <c r="F21">
        <f t="shared" si="2"/>
        <v>763.41101132528024</v>
      </c>
      <c r="G21">
        <f t="shared" si="3"/>
        <v>108631.43326249525</v>
      </c>
      <c r="H21">
        <f t="shared" si="4"/>
        <v>184.66061320166185</v>
      </c>
      <c r="I21">
        <f t="shared" si="5"/>
        <v>777</v>
      </c>
    </row>
    <row r="22" spans="1:11" x14ac:dyDescent="0.4">
      <c r="B22">
        <v>0.11700000000000001</v>
      </c>
      <c r="C22">
        <v>820</v>
      </c>
      <c r="D22">
        <f t="shared" si="0"/>
        <v>21.713950413223145</v>
      </c>
      <c r="E22">
        <f t="shared" si="1"/>
        <v>3.1615061983471084E-3</v>
      </c>
      <c r="F22">
        <f t="shared" si="2"/>
        <v>775.56699162562586</v>
      </c>
      <c r="G22">
        <f t="shared" si="3"/>
        <v>116792.24900480456</v>
      </c>
      <c r="H22">
        <f t="shared" si="4"/>
        <v>1974.2922331972024</v>
      </c>
      <c r="I22">
        <f t="shared" si="5"/>
        <v>820</v>
      </c>
    </row>
    <row r="23" spans="1:11" x14ac:dyDescent="0.4">
      <c r="B23">
        <v>0.11899999999999999</v>
      </c>
      <c r="C23">
        <v>840</v>
      </c>
      <c r="D23">
        <f t="shared" si="0"/>
        <v>23.650859504132232</v>
      </c>
      <c r="E23">
        <f t="shared" si="1"/>
        <v>3.3904152892561979E-3</v>
      </c>
      <c r="F23">
        <f t="shared" si="2"/>
        <v>787.72297192597148</v>
      </c>
      <c r="G23">
        <f t="shared" si="3"/>
        <v>125248.60046123866</v>
      </c>
      <c r="H23">
        <f t="shared" si="4"/>
        <v>2732.8876642527662</v>
      </c>
      <c r="I23">
        <f t="shared" si="5"/>
        <v>840</v>
      </c>
    </row>
    <row r="24" spans="1:11" x14ac:dyDescent="0.4">
      <c r="A24" t="s">
        <v>2</v>
      </c>
      <c r="B24">
        <f>AVERAGE(B2:B23)</f>
        <v>6.077272727272727E-2</v>
      </c>
      <c r="C24">
        <f>AVERAGE(C2:C23)</f>
        <v>433.81818181818181</v>
      </c>
      <c r="I24" t="s">
        <v>12</v>
      </c>
      <c r="J24" t="s">
        <v>17</v>
      </c>
      <c r="K24" t="s">
        <v>18</v>
      </c>
    </row>
    <row r="25" spans="1:11" x14ac:dyDescent="0.4">
      <c r="A25" t="s">
        <v>4</v>
      </c>
      <c r="D25">
        <f>SUM(D2:D23)</f>
        <v>205.03409090909091</v>
      </c>
      <c r="E25">
        <f>SUM(E2:E23)</f>
        <v>3.3733863636363631E-2</v>
      </c>
      <c r="G25">
        <f>SUM(G2:G23)</f>
        <v>1246195.1849950918</v>
      </c>
      <c r="H25">
        <f>SUM(H2:H23)</f>
        <v>23358.087732181702</v>
      </c>
      <c r="I25">
        <f>SUM(G25+H25)</f>
        <v>1269553.2727272734</v>
      </c>
      <c r="J25">
        <f>G25/I25</f>
        <v>0.98160133313507714</v>
      </c>
      <c r="K25">
        <f>D25/(COUNT(B2:B23)-1)</f>
        <v>9.7635281385281392</v>
      </c>
    </row>
    <row r="26" spans="1:11" x14ac:dyDescent="0.4">
      <c r="A26" t="s">
        <v>7</v>
      </c>
      <c r="E26">
        <f>D25/E25</f>
        <v>6077.9901501728109</v>
      </c>
      <c r="K26" t="s">
        <v>19</v>
      </c>
    </row>
    <row r="27" spans="1:11" x14ac:dyDescent="0.4">
      <c r="A27" t="s">
        <v>8</v>
      </c>
      <c r="E27">
        <f>C24-(E26*B24)</f>
        <v>64.442144055406914</v>
      </c>
      <c r="K27">
        <f>K25/(STDEV(B2:B23)*STDEV(C2:C23))</f>
        <v>0.99075795890574436</v>
      </c>
    </row>
    <row r="28" spans="1:11" x14ac:dyDescent="0.4">
      <c r="A28" t="s">
        <v>13</v>
      </c>
      <c r="G28">
        <f>COUNT(B2:C2)-1</f>
        <v>1</v>
      </c>
      <c r="H28">
        <f>COUNT(C2:C23)-2</f>
        <v>20</v>
      </c>
      <c r="K28" t="s">
        <v>17</v>
      </c>
    </row>
    <row r="29" spans="1:11" x14ac:dyDescent="0.4">
      <c r="A29" t="s">
        <v>14</v>
      </c>
      <c r="G29">
        <f>G25/G28</f>
        <v>1246195.1849950918</v>
      </c>
      <c r="H29">
        <f>H25/H28</f>
        <v>1167.9043866090851</v>
      </c>
      <c r="K29">
        <f>K27^2</f>
        <v>0.98160133313507658</v>
      </c>
    </row>
    <row r="30" spans="1:11" x14ac:dyDescent="0.4">
      <c r="A30" t="s">
        <v>15</v>
      </c>
      <c r="H30">
        <f>G29/H29</f>
        <v>1067.0352806990627</v>
      </c>
    </row>
    <row r="31" spans="1:11" x14ac:dyDescent="0.4">
      <c r="A31" t="s">
        <v>16</v>
      </c>
      <c r="H31">
        <f>FDIST(H30,G28,H28)</f>
        <v>7.8981490408197481E-19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Shane</dc:creator>
  <cp:lastModifiedBy>Joseph Goldenberg</cp:lastModifiedBy>
  <dcterms:created xsi:type="dcterms:W3CDTF">2026-04-02T00:02:54Z</dcterms:created>
  <dcterms:modified xsi:type="dcterms:W3CDTF">2026-10-30T03:16:20Z</dcterms:modified>
</cp:coreProperties>
</file>