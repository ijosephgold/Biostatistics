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d.docs.live.net/8F47F341F4910158/Documents/"/>
    </mc:Choice>
  </mc:AlternateContent>
  <xr:revisionPtr revIDLastSave="0" documentId="8_{A6A9B426-D15D-488C-82A3-BEB09D174623}" xr6:coauthVersionLast="47" xr6:coauthVersionMax="47" xr10:uidLastSave="{00000000-0000-0000-0000-000000000000}"/>
  <bookViews>
    <workbookView xWindow="2880" yWindow="2880" windowWidth="16200" windowHeight="9308" xr2:uid="{3FB4DCA9-C033-4948-A00A-0A58A3D04FE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1" i="1" l="1"/>
  <c r="G6" i="1"/>
  <c r="G3" i="1"/>
  <c r="G4" i="1"/>
  <c r="G5" i="1"/>
  <c r="G2" i="1"/>
  <c r="E5" i="1"/>
  <c r="E4" i="1"/>
  <c r="E3" i="1"/>
  <c r="F6" i="1"/>
  <c r="F5" i="1"/>
  <c r="F2" i="1"/>
  <c r="F4" i="1"/>
  <c r="F3" i="1"/>
  <c r="D11" i="1"/>
  <c r="D10" i="1"/>
  <c r="D3" i="1"/>
  <c r="D4" i="1"/>
  <c r="D5" i="1"/>
  <c r="D6" i="1"/>
  <c r="D7" i="1"/>
  <c r="D8" i="1"/>
  <c r="D9" i="1"/>
  <c r="D2" i="1"/>
  <c r="C12" i="1"/>
  <c r="C11" i="1"/>
  <c r="C3" i="1"/>
  <c r="C4" i="1"/>
  <c r="C5" i="1"/>
  <c r="C6" i="1"/>
  <c r="C7" i="1"/>
  <c r="C8" i="1"/>
  <c r="C9" i="1"/>
  <c r="C10" i="1"/>
  <c r="C2" i="1"/>
  <c r="B11"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tc={80F6727D-D71D-4F41-840B-C3FD8F1FAACD}</author>
    <author>tc={7D82C33D-695C-5245-B155-0673F359E018}</author>
    <author>tc={102EF932-D38F-DE4A-92F7-2FD4BF0317CA}</author>
    <author>tc={79348A2E-05E8-2746-BF92-D1DC21E9F923}</author>
    <author>tc={34FD1C02-2FA2-E14C-9DFC-584B533A7BAB}</author>
    <author>tc={2318DF53-0FB2-5047-AAB1-478E36DCDA98}</author>
    <author>tc={07BA8FE8-8089-934F-BE3F-EE9A2D570E01}</author>
    <author>tc={2E80CC6F-317F-1047-9954-5859FA9554FB}</author>
    <author>tc={535DD489-744F-AC42-BDC2-4840EF7682C6}</author>
    <author>tc={041B35A5-6F09-9843-96CF-3544617FD70C}</author>
    <author>tc={33F043B3-B6F2-4B4C-A90E-E137D7BE4225}</author>
    <author>tc={BCADF7E2-0512-F345-9FC1-82A2AC41BAB8}</author>
  </authors>
  <commentList>
    <comment ref="C1" authorId="0" shapeId="0" xr:uid="{80F6727D-D71D-4F41-840B-C3FD8F1FAACD}">
      <text>
        <t>[Threaded comment]
Your version of Excel allows you to read this threaded comment; however, any edits to it will get removed if the file is opened in a newer version of Excel. Learn more: https://go.microsoft.com/fwlink/?linkid=870924
Comment:
    Collumn Multiply Mites/midge by Frequncy</t>
      </text>
    </comment>
    <comment ref="D1" authorId="1" shapeId="0" xr:uid="{7D82C33D-695C-5245-B155-0673F359E018}">
      <text>
        <t>[Threaded comment]
Your version of Excel allows you to read this threaded comment; however, any edits to it will get removed if the file is opened in a newer version of Excel. Learn more: https://go.microsoft.com/fwlink/?linkid=870924
Comment:
    Poisson Distribution Excel Function!</t>
      </text>
    </comment>
    <comment ref="E5" authorId="2" shapeId="0" xr:uid="{102EF932-D38F-DE4A-92F7-2FD4BF0317CA}">
      <text>
        <t>[Threaded comment]
Your version of Excel allows you to read this threaded comment; however, any edits to it will get removed if the file is opened in a newer version of Excel. Learn more: https://go.microsoft.com/fwlink/?linkid=870924
Comment:
    Summed all Observed values corresponding to Expected Pooled data</t>
      </text>
    </comment>
    <comment ref="F5" authorId="3" shapeId="0" xr:uid="{79348A2E-05E8-2746-BF92-D1DC21E9F923}">
      <text>
        <t>[Threaded comment]
Your version of Excel allows you to read this threaded comment; however, any edits to it will get removed if the file is opened in a newer version of Excel. Learn more: https://go.microsoft.com/fwlink/?linkid=870924
Comment:
    Summed all Expected values less than 5, including the 5.27 value such that it should be greater than 5</t>
      </text>
    </comment>
    <comment ref="F6" authorId="4" shapeId="0" xr:uid="{34FD1C02-2FA2-E14C-9DFC-584B533A7BAB}">
      <text>
        <t>[Threaded comment]
Your version of Excel allows you to read this threaded comment; however, any edits to it will get removed if the file is opened in a newer version of Excel. Learn more: https://go.microsoft.com/fwlink/?linkid=870924
Comment:
    For verification</t>
      </text>
    </comment>
    <comment ref="G6" authorId="5" shapeId="0" xr:uid="{2318DF53-0FB2-5047-AAB1-478E36DCDA98}">
      <text>
        <t>[Threaded comment]
Your version of Excel allows you to read this threaded comment; however, any edits to it will get removed if the file is opened in a newer version of Excel. Learn more: https://go.microsoft.com/fwlink/?linkid=870924
Comment:
    G-statistic!</t>
      </text>
    </comment>
    <comment ref="D10" authorId="6" shapeId="0" xr:uid="{07BA8FE8-8089-934F-BE3F-EE9A2D570E01}">
      <text>
        <t>[Threaded comment]
Your version of Excel allows you to read this threaded comment; however, any edits to it will get removed if the file is opened in a newer version of Excel. Learn more: https://go.microsoft.com/fwlink/?linkid=870924
Comment:
    Highest mite value, abandon Poisson Distribution and instead swallow mathematical remainder. 
Why do we do this? A true Poisson distribution never actually hits zero; it calculates infinitely smaller probabilities for finding 9, 10, 11, or even 100 mites. By subtracting the sum of your calculated expectations from your true total of 589, that final cell scoops up all those remaining fractional probabilities.</t>
      </text>
    </comment>
    <comment ref="B11" authorId="7" shapeId="0" xr:uid="{2E80CC6F-317F-1047-9954-5859FA9554FB}">
      <text>
        <t>[Threaded comment]
Your version of Excel allows you to read this threaded comment; however, any edits to it will get removed if the file is opened in a newer version of Excel. Learn more: https://go.microsoft.com/fwlink/?linkid=870924
Comment:
    Total of Frequency Collumn</t>
      </text>
    </comment>
    <comment ref="C11" authorId="8" shapeId="0" xr:uid="{535DD489-744F-AC42-BDC2-4840EF7682C6}">
      <text>
        <t>[Threaded comment]
Your version of Excel allows you to read this threaded comment; however, any edits to it will get removed if the file is opened in a newer version of Excel. Learn more: https://go.microsoft.com/fwlink/?linkid=870924
Comment:
    Total Mites</t>
      </text>
    </comment>
    <comment ref="D11" authorId="9" shapeId="0" xr:uid="{041B35A5-6F09-9843-96CF-3544617FD70C}">
      <text>
        <t>[Threaded comment]
Your version of Excel allows you to read this threaded comment; however, any edits to it will get removed if the file is opened in a newer version of Excel. Learn more: https://go.microsoft.com/fwlink/?linkid=870924
Comment:
    Just to Verify</t>
      </text>
    </comment>
    <comment ref="G11" authorId="10" shapeId="0" xr:uid="{33F043B3-B6F2-4B4C-A90E-E137D7BE4225}">
      <text>
        <t>[Threaded comment]
Your version of Excel allows you to read this threaded comment; however, any edits to it will get removed if the file is opened in a newer version of Excel. Learn more: https://go.microsoft.com/fwlink/?linkid=870924
Comment:
    P-Value!</t>
      </text>
    </comment>
    <comment ref="C12" authorId="11" shapeId="0" xr:uid="{BCADF7E2-0512-F345-9FC1-82A2AC41BAB8}">
      <text>
        <t>[Threaded comment]
Your version of Excel allows you to read this threaded comment; however, any edits to it will get removed if the file is opened in a newer version of Excel. Learn more: https://go.microsoft.com/fwlink/?linkid=870924
Comment:
    Mean</t>
      </text>
    </comment>
  </commentList>
</comments>
</file>

<file path=xl/sharedStrings.xml><?xml version="1.0" encoding="utf-8"?>
<sst xmlns="http://schemas.openxmlformats.org/spreadsheetml/2006/main" count="11" uniqueCount="11">
  <si>
    <t>Frequency</t>
  </si>
  <si>
    <t>Mites/midge</t>
  </si>
  <si>
    <t>Y*f</t>
  </si>
  <si>
    <t>Expected</t>
  </si>
  <si>
    <t>Summarized/Pooled Expected table</t>
  </si>
  <si>
    <t>Log-Likelihood</t>
  </si>
  <si>
    <t>Observed Pooled</t>
  </si>
  <si>
    <t>k=4</t>
  </si>
  <si>
    <t>df=k-2</t>
  </si>
  <si>
    <t>df=2</t>
  </si>
  <si>
    <t>P-Value is way less than 0.05, we reject the null hypothesis!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</si>
</sst>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Joe Goldenberg" id="{570C93B9-25DC-F14D-9172-F3D6719BFC18}" userId="8f47f341f4910158" providerId="Windows Liv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C1" dT="2026-09-25T01:06:24.38" personId="{570C93B9-25DC-F14D-9172-F3D6719BFC18}" id="{80F6727D-D71D-4F41-840B-C3FD8F1FAACD}">
    <text>Collumn Multiply Mites/midge by Frequncy</text>
  </threadedComment>
  <threadedComment ref="D1" dT="2026-09-25T01:15:10.53" personId="{570C93B9-25DC-F14D-9172-F3D6719BFC18}" id="{7D82C33D-695C-5245-B155-0673F359E018}">
    <text>Poisson Distribution Excel Function!</text>
  </threadedComment>
  <threadedComment ref="E5" dT="2026-09-25T01:44:53.46" personId="{570C93B9-25DC-F14D-9172-F3D6719BFC18}" id="{102EF932-D38F-DE4A-92F7-2FD4BF0317CA}">
    <text>Summed all Observed values corresponding to Expected Pooled data</text>
  </threadedComment>
  <threadedComment ref="F5" dT="2026-09-25T01:34:14.14" personId="{570C93B9-25DC-F14D-9172-F3D6719BFC18}" id="{79348A2E-05E8-2746-BF92-D1DC21E9F923}">
    <text>Summed all Expected values less than 5, including the 5.27 value such that it should be greater than 5</text>
  </threadedComment>
  <threadedComment ref="F6" dT="2026-09-25T01:32:53.75" personId="{570C93B9-25DC-F14D-9172-F3D6719BFC18}" id="{34FD1C02-2FA2-E14C-9DFC-584B533A7BAB}">
    <text>For verification</text>
  </threadedComment>
  <threadedComment ref="G6" dT="2026-09-25T01:47:13.55" personId="{570C93B9-25DC-F14D-9172-F3D6719BFC18}" id="{2318DF53-0FB2-5047-AAB1-478E36DCDA98}">
    <text>G-statistic!</text>
  </threadedComment>
  <threadedComment ref="D10" dT="2026-09-25T01:23:11.11" personId="{570C93B9-25DC-F14D-9172-F3D6719BFC18}" id="{07BA8FE8-8089-934F-BE3F-EE9A2D570E01}">
    <text>Highest mite value, abandon Poisson Distribution and instead swallow mathematical remainder. 
Why do we do this? A true Poisson distribution never actually hits zero; it calculates infinitely smaller probabilities for finding 9, 10, 11, or even 100 mites. By subtracting the sum of your calculated expectations from your true total of 589, that final cell scoops up all those remaining fractional probabilities.</text>
  </threadedComment>
  <threadedComment ref="B11" dT="2026-09-25T01:05:38.66" personId="{570C93B9-25DC-F14D-9172-F3D6719BFC18}" id="{2E80CC6F-317F-1047-9954-5859FA9554FB}">
    <text>Total of Frequency Collumn</text>
  </threadedComment>
  <threadedComment ref="C11" dT="2026-09-25T01:05:06.61" personId="{570C93B9-25DC-F14D-9172-F3D6719BFC18}" id="{535DD489-744F-AC42-BDC2-4840EF7682C6}">
    <text>Total Mites</text>
  </threadedComment>
  <threadedComment ref="D11" dT="2026-09-25T01:24:00.76" personId="{570C93B9-25DC-F14D-9172-F3D6719BFC18}" id="{041B35A5-6F09-9843-96CF-3544617FD70C}">
    <text>Just to Verify</text>
  </threadedComment>
  <threadedComment ref="G11" dT="2026-09-25T01:49:58.73" personId="{570C93B9-25DC-F14D-9172-F3D6719BFC18}" id="{33F043B3-B6F2-4B4C-A90E-E137D7BE4225}">
    <text>P-Value!</text>
  </threadedComment>
  <threadedComment ref="C12" dT="2026-09-25T01:03:59.85" personId="{570C93B9-25DC-F14D-9172-F3D6719BFC18}" id="{BCADF7E2-0512-F345-9FC1-82A2AC41BAB8}">
    <text>Mean</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5A595D-C984-4D12-9A3F-FC8AB95BAA9F}">
  <dimension ref="A1:G12"/>
  <sheetViews>
    <sheetView tabSelected="1" workbookViewId="0">
      <selection activeCell="F13" sqref="F13"/>
    </sheetView>
  </sheetViews>
  <sheetFormatPr defaultColWidth="8.796875" defaultRowHeight="14.25" x14ac:dyDescent="0.45"/>
  <cols>
    <col min="1" max="1" width="10.6640625" customWidth="1"/>
    <col min="4" max="4" width="11.1328125" bestFit="1" customWidth="1"/>
    <col min="5" max="5" width="14.46484375" customWidth="1"/>
    <col min="6" max="6" width="28.46484375" customWidth="1"/>
    <col min="7" max="7" width="12.1328125" customWidth="1"/>
  </cols>
  <sheetData>
    <row r="1" spans="1:7" x14ac:dyDescent="0.45">
      <c r="A1" t="s">
        <v>1</v>
      </c>
      <c r="B1" t="s">
        <v>0</v>
      </c>
      <c r="C1" t="s">
        <v>2</v>
      </c>
      <c r="D1" t="s">
        <v>3</v>
      </c>
      <c r="E1" t="s">
        <v>6</v>
      </c>
      <c r="F1" t="s">
        <v>4</v>
      </c>
      <c r="G1" t="s">
        <v>5</v>
      </c>
    </row>
    <row r="2" spans="1:7" x14ac:dyDescent="0.45">
      <c r="A2">
        <v>0</v>
      </c>
      <c r="B2">
        <v>442</v>
      </c>
      <c r="C2">
        <f>A2*B2</f>
        <v>0</v>
      </c>
      <c r="D2">
        <f>_xlfn.POISSON.DIST(A2, $C$12,FALSE)*$B$11</f>
        <v>380.73112458633528</v>
      </c>
      <c r="E2">
        <v>442</v>
      </c>
      <c r="F2">
        <f>D2</f>
        <v>380.73112458633528</v>
      </c>
      <c r="G2">
        <f>E2*LN(E2/F2)</f>
        <v>65.953677896191834</v>
      </c>
    </row>
    <row r="3" spans="1:7" x14ac:dyDescent="0.45">
      <c r="A3">
        <v>1</v>
      </c>
      <c r="B3">
        <v>91</v>
      </c>
      <c r="C3">
        <f t="shared" ref="C3:C10" si="0">A3*B3</f>
        <v>91</v>
      </c>
      <c r="D3">
        <f t="shared" ref="D3:D9" si="1">_xlfn.POISSON.DIST(A3, $C$12,FALSE)*$B$11</f>
        <v>166.12546522697482</v>
      </c>
      <c r="E3">
        <f>B3</f>
        <v>91</v>
      </c>
      <c r="F3">
        <f>D3</f>
        <v>166.12546522697482</v>
      </c>
      <c r="G3">
        <f t="shared" ref="G3:G5" si="2">E3*LN(E3/F3)</f>
        <v>-54.771426798815362</v>
      </c>
    </row>
    <row r="4" spans="1:7" x14ac:dyDescent="0.45">
      <c r="A4">
        <v>2</v>
      </c>
      <c r="B4">
        <v>29</v>
      </c>
      <c r="C4">
        <f t="shared" si="0"/>
        <v>58</v>
      </c>
      <c r="D4">
        <f t="shared" si="1"/>
        <v>36.242991989246626</v>
      </c>
      <c r="E4">
        <f>B4</f>
        <v>29</v>
      </c>
      <c r="F4">
        <f>D4</f>
        <v>36.242991989246626</v>
      </c>
      <c r="G4">
        <f t="shared" si="2"/>
        <v>-6.4655560375116421</v>
      </c>
    </row>
    <row r="5" spans="1:7" x14ac:dyDescent="0.45">
      <c r="A5">
        <v>3</v>
      </c>
      <c r="B5">
        <v>14</v>
      </c>
      <c r="C5">
        <f t="shared" si="0"/>
        <v>42</v>
      </c>
      <c r="D5">
        <f t="shared" si="1"/>
        <v>5.2713349978700537</v>
      </c>
      <c r="E5">
        <f>B5+B6+B7+B8+B9+B10</f>
        <v>27</v>
      </c>
      <c r="F5">
        <f>SUM(D5:D10)</f>
        <v>5.9004181974430727</v>
      </c>
      <c r="G5">
        <f t="shared" si="2"/>
        <v>41.06196819041493</v>
      </c>
    </row>
    <row r="6" spans="1:7" x14ac:dyDescent="0.45">
      <c r="A6">
        <v>4</v>
      </c>
      <c r="B6">
        <v>4</v>
      </c>
      <c r="C6">
        <f t="shared" si="0"/>
        <v>16</v>
      </c>
      <c r="D6">
        <f t="shared" si="1"/>
        <v>0.57501404688141067</v>
      </c>
      <c r="F6">
        <f>SUM(F2:F5)</f>
        <v>588.99999999999989</v>
      </c>
      <c r="G6">
        <f>SUM(G2:G5)*2</f>
        <v>91.557326500559526</v>
      </c>
    </row>
    <row r="7" spans="1:7" x14ac:dyDescent="0.45">
      <c r="A7">
        <v>5</v>
      </c>
      <c r="B7">
        <v>6</v>
      </c>
      <c r="C7">
        <f t="shared" si="0"/>
        <v>30</v>
      </c>
      <c r="D7">
        <f t="shared" si="1"/>
        <v>5.0179494074201234E-2</v>
      </c>
    </row>
    <row r="8" spans="1:7" x14ac:dyDescent="0.45">
      <c r="A8">
        <v>6</v>
      </c>
      <c r="B8">
        <v>2</v>
      </c>
      <c r="C8">
        <f t="shared" si="0"/>
        <v>12</v>
      </c>
      <c r="D8">
        <f t="shared" si="1"/>
        <v>3.6491595860412302E-3</v>
      </c>
      <c r="G8" t="s">
        <v>7</v>
      </c>
    </row>
    <row r="9" spans="1:7" x14ac:dyDescent="0.45">
      <c r="A9">
        <v>7</v>
      </c>
      <c r="B9">
        <v>0</v>
      </c>
      <c r="C9">
        <f t="shared" si="0"/>
        <v>0</v>
      </c>
      <c r="D9">
        <f t="shared" si="1"/>
        <v>2.2746398583861201E-4</v>
      </c>
      <c r="G9" t="s">
        <v>8</v>
      </c>
    </row>
    <row r="10" spans="1:7" x14ac:dyDescent="0.45">
      <c r="A10">
        <v>8</v>
      </c>
      <c r="B10">
        <v>1</v>
      </c>
      <c r="C10">
        <f t="shared" si="0"/>
        <v>8</v>
      </c>
      <c r="D10">
        <f>B11-SUM(D2:D9)</f>
        <v>1.3035045526521571E-5</v>
      </c>
      <c r="G10" t="s">
        <v>9</v>
      </c>
    </row>
    <row r="11" spans="1:7" x14ac:dyDescent="0.45">
      <c r="B11">
        <f>SUM(B2:B10)</f>
        <v>589</v>
      </c>
      <c r="C11">
        <f>SUM(C2:C10)</f>
        <v>257</v>
      </c>
      <c r="D11">
        <f>SUM((D2:D10))</f>
        <v>589</v>
      </c>
      <c r="G11">
        <f>_xlfn.CHISQ.DIST.RT(G6,2)</f>
        <v>1.3139509749684726E-20</v>
      </c>
    </row>
    <row r="12" spans="1:7" x14ac:dyDescent="0.45">
      <c r="C12">
        <f>C11/B11</f>
        <v>0.43633276740237692</v>
      </c>
      <c r="G12" t="s">
        <v>10</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Jordan , Shane</dc:creator>
  <cp:lastModifiedBy>Joe Goldenberg</cp:lastModifiedBy>
  <dcterms:created xsi:type="dcterms:W3CDTF">2026-01-18T06:44:10Z</dcterms:created>
  <dcterms:modified xsi:type="dcterms:W3CDTF">2026-10-13T04:48:38Z</dcterms:modified>
</cp:coreProperties>
</file>