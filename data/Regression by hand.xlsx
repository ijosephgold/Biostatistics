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ura\Desktop\Teaching folders\Spring 2026\Biol 330\"/>
    </mc:Choice>
  </mc:AlternateContent>
  <xr:revisionPtr revIDLastSave="0" documentId="13_ncr:1_{2890DC4C-3D88-4847-B216-2E36F1D21013}" xr6:coauthVersionLast="47" xr6:coauthVersionMax="47" xr10:uidLastSave="{00000000-0000-0000-0000-000000000000}"/>
  <bookViews>
    <workbookView xWindow="-110" yWindow="-110" windowWidth="19420" windowHeight="10420" xr2:uid="{261B21FC-574B-4F7C-86C2-100731F597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E19" i="1"/>
  <c r="K15" i="1"/>
  <c r="K13" i="1"/>
  <c r="K11" i="1"/>
  <c r="J11" i="1"/>
  <c r="I11" i="1"/>
  <c r="E3" i="1"/>
  <c r="E4" i="1"/>
  <c r="E5" i="1"/>
  <c r="E6" i="1"/>
  <c r="E7" i="1"/>
  <c r="E8" i="1"/>
  <c r="E9" i="1"/>
  <c r="D2" i="1"/>
  <c r="D3" i="1"/>
  <c r="D4" i="1"/>
  <c r="D5" i="1"/>
  <c r="D6" i="1"/>
  <c r="D7" i="1"/>
  <c r="D8" i="1"/>
  <c r="D9" i="1"/>
  <c r="E2" i="1" l="1"/>
  <c r="C10" i="1"/>
  <c r="B10" i="1"/>
  <c r="E11" i="1" l="1"/>
  <c r="D11" i="1"/>
  <c r="E12" i="1" l="1"/>
  <c r="E13" i="1" l="1"/>
  <c r="F3" i="1" s="1"/>
  <c r="F6" i="1" l="1"/>
  <c r="G6" i="1" s="1"/>
  <c r="F2" i="1"/>
  <c r="H2" i="1" s="1"/>
  <c r="F9" i="1"/>
  <c r="H9" i="1" s="1"/>
  <c r="F5" i="1"/>
  <c r="G5" i="1" s="1"/>
  <c r="F7" i="1"/>
  <c r="G7" i="1" s="1"/>
  <c r="F8" i="1"/>
  <c r="G8" i="1" s="1"/>
  <c r="G3" i="1"/>
  <c r="H3" i="1"/>
  <c r="H6" i="1"/>
  <c r="H7" i="1"/>
  <c r="G2" i="1"/>
  <c r="F4" i="1"/>
  <c r="H5" i="1" l="1"/>
  <c r="H8" i="1"/>
  <c r="G9" i="1"/>
  <c r="H4" i="1"/>
  <c r="G4" i="1"/>
  <c r="G11" i="1" s="1"/>
  <c r="G15" i="1" s="1"/>
  <c r="H11" i="1" l="1"/>
  <c r="H15" i="1" s="1"/>
  <c r="H16" i="1" s="1"/>
  <c r="H17" i="1" s="1"/>
</calcChain>
</file>

<file path=xl/sharedStrings.xml><?xml version="1.0" encoding="utf-8"?>
<sst xmlns="http://schemas.openxmlformats.org/spreadsheetml/2006/main" count="48" uniqueCount="41">
  <si>
    <t>Mean</t>
  </si>
  <si>
    <t xml:space="preserve">xy cross </t>
  </si>
  <si>
    <t>Age (x)</t>
  </si>
  <si>
    <t>Gain (y)</t>
  </si>
  <si>
    <t>Sum</t>
  </si>
  <si>
    <t>Slope</t>
  </si>
  <si>
    <t>Intercept</t>
  </si>
  <si>
    <t>y hat</t>
  </si>
  <si>
    <t>residual</t>
  </si>
  <si>
    <t>regression</t>
  </si>
  <si>
    <t>df</t>
  </si>
  <si>
    <t>MS</t>
  </si>
  <si>
    <t>F</t>
  </si>
  <si>
    <t>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</si>
  <si>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</si>
  <si>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</si>
  <si>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</si>
  <si>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</si>
  <si>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</si>
  <si>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</si>
  <si>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</si>
  <si>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</si>
  <si>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</si>
  <si>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</si>
  <si>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</si>
  <si>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SS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</si>
  <si>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</si>
  <si>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</si>
  <si>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</si>
  <si>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</si>
  <si>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</si>
  <si>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</si>
  <si>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</si>
  <si>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</si>
  <si>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</si>
  <si>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R2</t>
  </si>
  <si>
    <t>Cov</t>
  </si>
  <si>
    <t>r</t>
  </si>
  <si>
    <t>x = 30</t>
  </si>
  <si>
    <t>sq x dev</t>
  </si>
  <si>
    <t>GLM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</si>
</sst>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016C-B552-40D5-999F-2D11035FA64A}">
  <dimension ref="A1:K19"/>
  <sheetViews>
    <sheetView tabSelected="1" workbookViewId="0">
      <selection activeCell="J2" sqref="J2"/>
    </sheetView>
  </sheetViews>
  <sheetFormatPr defaultRowHeight="14.5" x14ac:dyDescent="0.35"/>
  <sheetData>
    <row r="1" spans="1:11" x14ac:dyDescent="0.35">
      <c r="B1" t="s">
        <v>2</v>
      </c>
      <c r="C1" t="s">
        <v>3</v>
      </c>
      <c r="D1" t="s">
        <v>1</v>
      </c>
      <c r="E1" t="s">
        <v>39</v>
      </c>
      <c r="F1" t="s">
        <v>7</v>
      </c>
      <c r="G1" t="s">
        <v>9</v>
      </c>
      <c r="H1" t="s">
        <v>8</v>
      </c>
      <c r="I1" t="s">
        <v>40</v>
      </c>
    </row>
    <row r="2" spans="1:11" x14ac:dyDescent="0.35">
      <c r="B2" s="1">
        <v>15</v>
      </c>
      <c r="C2" s="1">
        <v>6.32</v>
      </c>
      <c r="D2">
        <f>(B2-$B$10)*(C2-$C$10)</f>
        <v>18.262968749999995</v>
      </c>
      <c r="E2">
        <f>(B2-$B$10)^2</f>
        <v>21.390625</v>
      </c>
      <c r="F2">
        <f>($E$12*B2)+($E$13)</f>
        <v>5.2586228482003126</v>
      </c>
      <c r="G2">
        <f>(F2-$C$10)^2</f>
        <v>25.101374077200436</v>
      </c>
      <c r="H2">
        <f>(C2-F2)^2</f>
        <v>1.1265214583624175</v>
      </c>
      <c r="I2">
        <f>$E$13+($E$12*B2)+(C2-F2)</f>
        <v>6.32</v>
      </c>
    </row>
    <row r="3" spans="1:11" x14ac:dyDescent="0.35">
      <c r="B3" s="1">
        <v>16</v>
      </c>
      <c r="C3" s="1">
        <v>7.04</v>
      </c>
      <c r="D3">
        <f t="shared" ref="D3:D9" si="0">(B3-$B$10)*(C3-$C$10)</f>
        <v>11.704218749999995</v>
      </c>
      <c r="E3">
        <f t="shared" ref="E3:E9" si="1">(B3-$B$10)^2</f>
        <v>13.140625</v>
      </c>
      <c r="F3">
        <f t="shared" ref="F3:F9" si="2">($E$12*B3)+($E$13)</f>
        <v>6.341893583724568</v>
      </c>
      <c r="G3">
        <f t="shared" ref="G3:G9" si="3">(F3-$C$10)^2</f>
        <v>15.420201314043521</v>
      </c>
      <c r="H3">
        <f t="shared" ref="H3:H9" si="4">(C3-F3)^2</f>
        <v>0.48735256844492675</v>
      </c>
      <c r="I3">
        <f t="shared" ref="I3:I9" si="5">$E$13+($E$12*B3)+(C3-F3)</f>
        <v>7.04</v>
      </c>
    </row>
    <row r="4" spans="1:11" x14ac:dyDescent="0.35">
      <c r="B4" s="1">
        <v>17</v>
      </c>
      <c r="C4" s="1">
        <v>6.91</v>
      </c>
      <c r="D4">
        <f t="shared" si="0"/>
        <v>8.8167187499999962</v>
      </c>
      <c r="E4">
        <f t="shared" si="1"/>
        <v>6.890625</v>
      </c>
      <c r="F4">
        <f t="shared" si="2"/>
        <v>7.4251643192488235</v>
      </c>
      <c r="G4">
        <f t="shared" si="3"/>
        <v>8.0859795237731262</v>
      </c>
      <c r="H4">
        <f t="shared" si="4"/>
        <v>0.26539427582710357</v>
      </c>
      <c r="I4">
        <f t="shared" si="5"/>
        <v>6.91</v>
      </c>
    </row>
    <row r="5" spans="1:11" x14ac:dyDescent="0.35">
      <c r="B5" s="1">
        <v>19</v>
      </c>
      <c r="C5" s="1">
        <v>7.56</v>
      </c>
      <c r="D5">
        <f t="shared" si="0"/>
        <v>1.6929687499999995</v>
      </c>
      <c r="E5">
        <f t="shared" si="1"/>
        <v>0.390625</v>
      </c>
      <c r="F5">
        <f t="shared" si="2"/>
        <v>9.5917057902973379</v>
      </c>
      <c r="G5">
        <f t="shared" si="3"/>
        <v>0.45838886189190081</v>
      </c>
      <c r="H5">
        <f t="shared" si="4"/>
        <v>4.1278284183277325</v>
      </c>
      <c r="I5">
        <f t="shared" si="5"/>
        <v>7.56</v>
      </c>
    </row>
    <row r="6" spans="1:11" x14ac:dyDescent="0.35">
      <c r="B6" s="1">
        <v>21</v>
      </c>
      <c r="C6" s="1">
        <v>13.01</v>
      </c>
      <c r="D6">
        <f t="shared" si="0"/>
        <v>3.7692187500000012</v>
      </c>
      <c r="E6">
        <f t="shared" si="1"/>
        <v>1.890625</v>
      </c>
      <c r="F6">
        <f t="shared" si="2"/>
        <v>11.758247261345852</v>
      </c>
      <c r="G6">
        <f t="shared" si="3"/>
        <v>2.2186020915567979</v>
      </c>
      <c r="H6">
        <f t="shared" si="4"/>
        <v>1.5668849187281582</v>
      </c>
      <c r="I6">
        <f t="shared" si="5"/>
        <v>13.01</v>
      </c>
    </row>
    <row r="7" spans="1:11" x14ac:dyDescent="0.35">
      <c r="B7" s="1">
        <v>22</v>
      </c>
      <c r="C7" s="1">
        <v>10.34</v>
      </c>
      <c r="D7">
        <f t="shared" si="0"/>
        <v>0.16921875000000219</v>
      </c>
      <c r="E7">
        <f t="shared" si="1"/>
        <v>5.640625</v>
      </c>
      <c r="F7">
        <f t="shared" si="2"/>
        <v>12.841517996870108</v>
      </c>
      <c r="G7">
        <f t="shared" si="3"/>
        <v>6.6191351657190332</v>
      </c>
      <c r="H7">
        <f t="shared" si="4"/>
        <v>6.2575922886650375</v>
      </c>
      <c r="I7">
        <f t="shared" si="5"/>
        <v>10.34</v>
      </c>
    </row>
    <row r="8" spans="1:11" x14ac:dyDescent="0.35">
      <c r="B8" s="1">
        <v>23</v>
      </c>
      <c r="C8" s="1">
        <v>13.8</v>
      </c>
      <c r="D8">
        <f t="shared" si="0"/>
        <v>11.917968750000005</v>
      </c>
      <c r="E8">
        <f t="shared" si="1"/>
        <v>11.390625</v>
      </c>
      <c r="F8">
        <f t="shared" si="2"/>
        <v>13.924788732394367</v>
      </c>
      <c r="G8">
        <f t="shared" si="3"/>
        <v>13.366619212767818</v>
      </c>
      <c r="H8">
        <f t="shared" si="4"/>
        <v>1.5572227732592731E-2</v>
      </c>
      <c r="I8">
        <f t="shared" si="5"/>
        <v>13.8</v>
      </c>
    </row>
    <row r="9" spans="1:11" x14ac:dyDescent="0.35">
      <c r="B9" s="1">
        <v>24</v>
      </c>
      <c r="C9" s="1">
        <v>17.170000000000002</v>
      </c>
      <c r="D9">
        <f t="shared" si="0"/>
        <v>30.192968750000013</v>
      </c>
      <c r="E9">
        <f t="shared" si="1"/>
        <v>19.140625</v>
      </c>
      <c r="F9">
        <f t="shared" si="2"/>
        <v>15.008059467918622</v>
      </c>
      <c r="G9">
        <f t="shared" si="3"/>
        <v>22.461054232703106</v>
      </c>
      <c r="H9">
        <f t="shared" si="4"/>
        <v>4.6739868642563174</v>
      </c>
      <c r="I9">
        <f t="shared" si="5"/>
        <v>17.170000000000002</v>
      </c>
    </row>
    <row r="10" spans="1:11" x14ac:dyDescent="0.35">
      <c r="A10" t="s">
        <v>0</v>
      </c>
      <c r="B10">
        <f>AVERAGE(B2:B9)</f>
        <v>19.625</v>
      </c>
      <c r="C10">
        <f>AVERAGE(C2:C9)</f>
        <v>10.268749999999999</v>
      </c>
      <c r="I10" t="s">
        <v>24</v>
      </c>
      <c r="J10" t="s">
        <v>35</v>
      </c>
      <c r="K10" t="s">
        <v>36</v>
      </c>
    </row>
    <row r="11" spans="1:11" x14ac:dyDescent="0.35">
      <c r="A11" t="s">
        <v>4</v>
      </c>
      <c r="D11">
        <f>SUM(D2:D9)</f>
        <v>86.526250000000005</v>
      </c>
      <c r="E11">
        <f>SUM(E2:E9)</f>
        <v>79.875</v>
      </c>
      <c r="G11">
        <f>SUM(G2:G9)</f>
        <v>93.731354479655735</v>
      </c>
      <c r="H11">
        <f>SUM(H2:H9)</f>
        <v>18.521133020344287</v>
      </c>
      <c r="I11">
        <f>G11+H11</f>
        <v>112.25248750000003</v>
      </c>
      <c r="J11">
        <f>G11/I11</f>
        <v>0.83500469848969461</v>
      </c>
      <c r="K11">
        <f>D11/(COUNT(B2:B9)-1)</f>
        <v>12.360892857142858</v>
      </c>
    </row>
    <row r="12" spans="1:11" x14ac:dyDescent="0.35">
      <c r="A12" t="s">
        <v>5</v>
      </c>
      <c r="E12">
        <f>D11/E11</f>
        <v>1.0832707355242568</v>
      </c>
      <c r="K12" t="s">
        <v>37</v>
      </c>
    </row>
    <row r="13" spans="1:11" x14ac:dyDescent="0.35">
      <c r="A13" t="s">
        <v>6</v>
      </c>
      <c r="E13">
        <f>C10-(E12*B10)</f>
        <v>-10.990438184663541</v>
      </c>
      <c r="K13">
        <f>K11/(STDEV(B2:B9)*STDEV(C2:C9))</f>
        <v>0.91378591502041262</v>
      </c>
    </row>
    <row r="14" spans="1:11" x14ac:dyDescent="0.35">
      <c r="A14" t="s">
        <v>10</v>
      </c>
      <c r="G14">
        <v>1</v>
      </c>
      <c r="H14">
        <v>6</v>
      </c>
      <c r="K14" t="s">
        <v>35</v>
      </c>
    </row>
    <row r="15" spans="1:11" x14ac:dyDescent="0.35">
      <c r="A15" t="s">
        <v>11</v>
      </c>
      <c r="G15">
        <f>G11/G14</f>
        <v>93.731354479655735</v>
      </c>
      <c r="H15">
        <f>H11/H14</f>
        <v>3.0868555033907144</v>
      </c>
      <c r="K15">
        <f>K13^2</f>
        <v>0.83500469848969272</v>
      </c>
    </row>
    <row r="16" spans="1:11" x14ac:dyDescent="0.35">
      <c r="A16" t="s">
        <v>12</v>
      </c>
      <c r="H16">
        <f>G15/H15</f>
        <v>30.364671872945724</v>
      </c>
    </row>
    <row r="17" spans="1:8" x14ac:dyDescent="0.35">
      <c r="A17" t="s">
        <v>13</v>
      </c>
      <c r="H17">
        <f>FDIST(H16,G14,H14)</f>
        <v>1.5002419234743639E-3</v>
      </c>
    </row>
    <row r="18" spans="1:8" x14ac:dyDescent="0.35">
      <c r="E18" t="s">
        <v>38</v>
      </c>
    </row>
    <row r="19" spans="1:8" x14ac:dyDescent="0.35">
      <c r="E19">
        <f>(E12*30)+E13</f>
        <v>21.507683881064168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5206-1120-4D47-9890-7DDACA19EF52}">
  <dimension ref="A1:I18"/>
  <sheetViews>
    <sheetView workbookViewId="0">
      <selection activeCell="C7" sqref="C7"/>
    </sheetView>
  </sheetViews>
  <sheetFormatPr defaultRowHeight="14.5" x14ac:dyDescent="0.35"/>
  <sheetData>
    <row r="1" spans="1:9" x14ac:dyDescent="0.35">
      <c r="A1" t="s">
        <v>14</v>
      </c>
    </row>
    <row r="2" spans="1:9" ht="15" thickBot="1" x14ac:dyDescent="0.4"/>
    <row r="3" spans="1:9" x14ac:dyDescent="0.35">
      <c r="A3" s="4" t="s">
        <v>15</v>
      </c>
      <c r="B3" s="4"/>
    </row>
    <row r="4" spans="1:9" x14ac:dyDescent="0.35">
      <c r="A4" t="s">
        <v>16</v>
      </c>
      <c r="B4">
        <v>0.91378591502041362</v>
      </c>
    </row>
    <row r="5" spans="1:9" x14ac:dyDescent="0.35">
      <c r="A5" t="s">
        <v>17</v>
      </c>
      <c r="B5">
        <v>0.83500469848969461</v>
      </c>
    </row>
    <row r="6" spans="1:9" x14ac:dyDescent="0.35">
      <c r="A6" t="s">
        <v>18</v>
      </c>
      <c r="B6">
        <v>0.80750548157131041</v>
      </c>
    </row>
    <row r="7" spans="1:9" x14ac:dyDescent="0.35">
      <c r="A7" t="s">
        <v>19</v>
      </c>
      <c r="B7">
        <v>1.7569449346495511</v>
      </c>
    </row>
    <row r="8" spans="1:9" ht="15" thickBot="1" x14ac:dyDescent="0.4">
      <c r="A8" s="2" t="s">
        <v>20</v>
      </c>
      <c r="B8" s="2">
        <v>8</v>
      </c>
    </row>
    <row r="10" spans="1:9" ht="15" thickBot="1" x14ac:dyDescent="0.4">
      <c r="A10" t="s">
        <v>21</v>
      </c>
    </row>
    <row r="11" spans="1:9" x14ac:dyDescent="0.35">
      <c r="A11" s="3"/>
      <c r="B11" s="3" t="s">
        <v>10</v>
      </c>
      <c r="C11" s="3" t="s">
        <v>25</v>
      </c>
      <c r="D11" s="3" t="s">
        <v>11</v>
      </c>
      <c r="E11" s="3" t="s">
        <v>12</v>
      </c>
      <c r="F11" s="3" t="s">
        <v>26</v>
      </c>
    </row>
    <row r="12" spans="1:9" x14ac:dyDescent="0.35">
      <c r="A12" t="s">
        <v>22</v>
      </c>
      <c r="B12">
        <v>1</v>
      </c>
      <c r="C12">
        <v>93.731354479655735</v>
      </c>
      <c r="D12">
        <v>93.731354479655735</v>
      </c>
      <c r="E12">
        <v>30.36467187294571</v>
      </c>
      <c r="F12">
        <v>1.5002419234743667E-3</v>
      </c>
    </row>
    <row r="13" spans="1:9" x14ac:dyDescent="0.35">
      <c r="A13" t="s">
        <v>23</v>
      </c>
      <c r="B13">
        <v>6</v>
      </c>
      <c r="C13">
        <v>18.521133020344294</v>
      </c>
      <c r="D13">
        <v>3.0868555033907157</v>
      </c>
    </row>
    <row r="14" spans="1:9" ht="15" thickBot="1" x14ac:dyDescent="0.4">
      <c r="A14" s="2" t="s">
        <v>24</v>
      </c>
      <c r="B14" s="2">
        <v>7</v>
      </c>
      <c r="C14" s="2">
        <v>112.25248750000003</v>
      </c>
      <c r="D14" s="2"/>
      <c r="E14" s="2"/>
      <c r="F14" s="2"/>
    </row>
    <row r="15" spans="1:9" ht="15" thickBot="1" x14ac:dyDescent="0.4"/>
    <row r="16" spans="1:9" x14ac:dyDescent="0.35">
      <c r="A16" s="3"/>
      <c r="B16" s="3" t="s">
        <v>27</v>
      </c>
      <c r="C16" s="3" t="s">
        <v>19</v>
      </c>
      <c r="D16" s="3" t="s">
        <v>28</v>
      </c>
      <c r="E16" s="3" t="s">
        <v>29</v>
      </c>
      <c r="F16" s="3" t="s">
        <v>30</v>
      </c>
      <c r="G16" s="3" t="s">
        <v>31</v>
      </c>
      <c r="H16" s="3" t="s">
        <v>32</v>
      </c>
      <c r="I16" s="3" t="s">
        <v>33</v>
      </c>
    </row>
    <row r="17" spans="1:9" x14ac:dyDescent="0.35">
      <c r="A17" t="s">
        <v>6</v>
      </c>
      <c r="B17">
        <v>-10.990438184663541</v>
      </c>
      <c r="C17">
        <v>3.9076887906052993</v>
      </c>
      <c r="D17">
        <v>-2.8125162400563446</v>
      </c>
      <c r="E17">
        <v>3.0654488124759606E-2</v>
      </c>
      <c r="F17">
        <v>-20.552208196982001</v>
      </c>
      <c r="G17">
        <v>-1.4286681723450805</v>
      </c>
      <c r="H17">
        <v>-20.552208196982001</v>
      </c>
      <c r="I17">
        <v>-1.4286681723450805</v>
      </c>
    </row>
    <row r="18" spans="1:9" ht="15" thickBot="1" x14ac:dyDescent="0.4">
      <c r="A18" s="2" t="s">
        <v>34</v>
      </c>
      <c r="B18" s="2">
        <v>1.0832707355242568</v>
      </c>
      <c r="C18" s="2">
        <v>0.19658605822822642</v>
      </c>
      <c r="D18" s="2">
        <v>5.5104148548857648</v>
      </c>
      <c r="E18" s="2">
        <v>1.5002419234743667E-3</v>
      </c>
      <c r="F18" s="2">
        <v>0.60224197987573447</v>
      </c>
      <c r="G18" s="2">
        <v>1.564299491172779</v>
      </c>
      <c r="H18" s="2">
        <v>0.60224197987573447</v>
      </c>
      <c r="I18" s="2">
        <v>1.564299491172779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, Shane</dc:creator>
  <cp:lastModifiedBy>Jordan, Shane</cp:lastModifiedBy>
  <dcterms:created xsi:type="dcterms:W3CDTF">2026-01-03T14:30:11Z</dcterms:created>
  <dcterms:modified xsi:type="dcterms:W3CDTF">2026-10-28T20:17:04Z</dcterms:modified>
</cp:coreProperties>
</file>